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si\OneDrive\Documentos\DoutoradoUNAERP 2026\Tese Final\Visitando Escolas\Escolas e Vermicomposteira\"/>
    </mc:Choice>
  </mc:AlternateContent>
  <xr:revisionPtr revIDLastSave="0" documentId="13_ncr:1_{B64B7647-C23C-48C9-B104-3A44C10E1AD5}" xr6:coauthVersionLast="47" xr6:coauthVersionMax="47" xr10:uidLastSave="{00000000-0000-0000-0000-000000000000}"/>
  <bookViews>
    <workbookView xWindow="-108" yWindow="-108" windowWidth="23256" windowHeight="12456" activeTab="1" xr2:uid="{0F2E1ACE-BF20-4544-A36D-4856087F27A1}"/>
  </bookViews>
  <sheets>
    <sheet name="escolas" sheetId="1" r:id="rId1"/>
    <sheet name="reatores" sheetId="2" r:id="rId2"/>
    <sheet name="gast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2" l="1"/>
  <c r="E6" i="2"/>
  <c r="D6" i="2"/>
  <c r="C6" i="2"/>
  <c r="B6" i="2"/>
  <c r="J5" i="2"/>
  <c r="E5" i="2"/>
  <c r="D5" i="2"/>
  <c r="C5" i="2"/>
  <c r="B5" i="2"/>
  <c r="J4" i="2"/>
  <c r="E4" i="2"/>
  <c r="D4" i="2"/>
  <c r="C4" i="2"/>
  <c r="B4" i="2"/>
  <c r="K3" i="2"/>
  <c r="J3" i="2"/>
  <c r="J2" i="2"/>
  <c r="C4" i="4"/>
  <c r="C5" i="4" s="1"/>
  <c r="E3" i="2"/>
  <c r="D3" i="2"/>
  <c r="C3" i="2"/>
  <c r="B2" i="2"/>
  <c r="B3" i="2" s="1"/>
</calcChain>
</file>

<file path=xl/sharedStrings.xml><?xml version="1.0" encoding="utf-8"?>
<sst xmlns="http://schemas.openxmlformats.org/spreadsheetml/2006/main" count="55" uniqueCount="47">
  <si>
    <t>id_escola</t>
  </si>
  <si>
    <t>nome_escola</t>
  </si>
  <si>
    <t>data_implantacao</t>
  </si>
  <si>
    <t>status</t>
  </si>
  <si>
    <t>Ativo</t>
  </si>
  <si>
    <t>ultima_visita</t>
  </si>
  <si>
    <t>observacoes</t>
  </si>
  <si>
    <t>data_ativacao</t>
  </si>
  <si>
    <t>data_encheu</t>
  </si>
  <si>
    <t>id_reator</t>
  </si>
  <si>
    <t>status_reator</t>
  </si>
  <si>
    <t>data_colheita</t>
  </si>
  <si>
    <t>R001</t>
  </si>
  <si>
    <t>Cheio</t>
  </si>
  <si>
    <t>R002</t>
  </si>
  <si>
    <t>capacidade_total_sistema_litros</t>
  </si>
  <si>
    <t>num_caixas_processamento</t>
  </si>
  <si>
    <t>Sistema funcionando perfeitamente</t>
  </si>
  <si>
    <t>tipo_caixa</t>
  </si>
  <si>
    <t>Processamento</t>
  </si>
  <si>
    <t>altura_cm</t>
  </si>
  <si>
    <t>largura_cm</t>
  </si>
  <si>
    <t>comprimento_cm</t>
  </si>
  <si>
    <t>volume_calculado_litros</t>
  </si>
  <si>
    <t>peso_estimado_kg</t>
  </si>
  <si>
    <t>EEI Pastora Naildete</t>
  </si>
  <si>
    <t>EEI_PN</t>
  </si>
  <si>
    <t>Enchendo</t>
  </si>
  <si>
    <t>id_gasto</t>
  </si>
  <si>
    <t>nome_gasto</t>
  </si>
  <si>
    <t>data_compra</t>
  </si>
  <si>
    <t>valor</t>
  </si>
  <si>
    <t>minhoca</t>
  </si>
  <si>
    <t>serragem</t>
  </si>
  <si>
    <t>serragem de pinus</t>
  </si>
  <si>
    <t>minhoca californiana</t>
  </si>
  <si>
    <t>esterco</t>
  </si>
  <si>
    <t>esterco seco</t>
  </si>
  <si>
    <t>Líquido</t>
  </si>
  <si>
    <t>num_caixas_líquido</t>
  </si>
  <si>
    <t>líquido_litros</t>
  </si>
  <si>
    <t>sólido_kg</t>
  </si>
  <si>
    <t>homi</t>
  </si>
  <si>
    <t>composteira profissional</t>
  </si>
  <si>
    <t>R003</t>
  </si>
  <si>
    <t>R004</t>
  </si>
  <si>
    <t>R005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</si>
</sst>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517A-FCD6-4C12-9C3D-74EC3F9624B7}">
  <dimension ref="A1:I6"/>
  <sheetViews>
    <sheetView zoomScaleNormal="100" workbookViewId="0">
      <selection activeCell="I2" sqref="I2"/>
    </sheetView>
  </sheetViews>
  <sheetFormatPr defaultRowHeight="14.4" x14ac:dyDescent="0.3"/>
  <cols>
    <col min="1" max="2" width="17.77734375" bestFit="1" customWidth="1"/>
    <col min="3" max="3" width="16.33203125" bestFit="1" customWidth="1"/>
    <col min="4" max="4" width="13.44140625" bestFit="1" customWidth="1"/>
    <col min="5" max="5" width="11.77734375" bestFit="1" customWidth="1"/>
    <col min="6" max="6" width="31.5546875" bestFit="1" customWidth="1"/>
    <col min="7" max="7" width="28.5546875" bestFit="1" customWidth="1"/>
    <col min="8" max="8" width="24.88671875" bestFit="1" customWidth="1"/>
    <col min="9" max="9" width="23.88671875" bestFit="1" customWidth="1"/>
    <col min="12" max="12" width="12.109375" bestFit="1" customWidth="1"/>
    <col min="14" max="14" width="15.5546875" bestFit="1" customWidth="1"/>
    <col min="15" max="15" width="21.109375" bestFit="1" customWidth="1"/>
    <col min="16" max="16" width="16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15</v>
      </c>
      <c r="H1" t="s">
        <v>16</v>
      </c>
      <c r="I1" t="s">
        <v>39</v>
      </c>
    </row>
    <row r="2" spans="1:9" x14ac:dyDescent="0.3">
      <c r="A2" t="s">
        <v>26</v>
      </c>
      <c r="B2" t="s">
        <v>25</v>
      </c>
      <c r="C2" s="1">
        <v>46050</v>
      </c>
      <c r="D2" t="s">
        <v>4</v>
      </c>
      <c r="E2" s="1">
        <v>45422</v>
      </c>
      <c r="F2" s="1" t="s">
        <v>17</v>
      </c>
    </row>
    <row r="3" spans="1:9" x14ac:dyDescent="0.3">
      <c r="C3" s="1"/>
      <c r="E3" s="1"/>
      <c r="F3" s="1"/>
    </row>
    <row r="4" spans="1:9" x14ac:dyDescent="0.3">
      <c r="C4" s="1"/>
      <c r="E4" s="1"/>
      <c r="F4" s="1"/>
    </row>
    <row r="5" spans="1:9" x14ac:dyDescent="0.3">
      <c r="C5" s="1"/>
      <c r="E5" s="1"/>
    </row>
    <row r="6" spans="1:9" x14ac:dyDescent="0.3">
      <c r="C6" s="1"/>
      <c r="E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1EFF-1DC5-45F8-99F1-073760A57312}">
  <dimension ref="A1:O6"/>
  <sheetViews>
    <sheetView tabSelected="1" zoomScale="80" zoomScaleNormal="80" workbookViewId="0">
      <selection activeCell="A7" sqref="A7"/>
    </sheetView>
  </sheetViews>
  <sheetFormatPr defaultRowHeight="14.4" x14ac:dyDescent="0.3"/>
  <cols>
    <col min="1" max="1" width="13.109375" bestFit="1" customWidth="1"/>
    <col min="2" max="2" width="8.6640625" bestFit="1" customWidth="1"/>
    <col min="3" max="3" width="9.77734375" bestFit="1" customWidth="1"/>
    <col min="4" max="4" width="10.77734375" bestFit="1" customWidth="1"/>
    <col min="5" max="5" width="16.5546875" bestFit="1" customWidth="1"/>
    <col min="6" max="6" width="22.21875" bestFit="1" customWidth="1"/>
    <col min="7" max="7" width="17.21875" customWidth="1"/>
    <col min="8" max="8" width="16.88671875" bestFit="1" customWidth="1"/>
    <col min="9" max="9" width="12.6640625" bestFit="1" customWidth="1"/>
    <col min="10" max="10" width="12.88671875" bestFit="1" customWidth="1"/>
    <col min="11" max="11" width="19.88671875" bestFit="1" customWidth="1"/>
    <col min="12" max="12" width="16.44140625" bestFit="1" customWidth="1"/>
    <col min="13" max="13" width="9.77734375" bestFit="1" customWidth="1"/>
    <col min="14" max="14" width="12.77734375" bestFit="1" customWidth="1"/>
    <col min="15" max="15" width="22.5546875" bestFit="1" customWidth="1"/>
    <col min="16" max="16" width="9.77734375" bestFit="1" customWidth="1"/>
    <col min="17" max="17" width="10.77734375" bestFit="1" customWidth="1"/>
    <col min="18" max="18" width="7.5546875" bestFit="1" customWidth="1"/>
    <col min="19" max="19" width="16.5546875" bestFit="1" customWidth="1"/>
    <col min="20" max="20" width="22.21875" bestFit="1" customWidth="1"/>
    <col min="21" max="21" width="17.21875" bestFit="1" customWidth="1"/>
  </cols>
  <sheetData>
    <row r="1" spans="1:15" x14ac:dyDescent="0.3">
      <c r="A1" t="s">
        <v>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18</v>
      </c>
      <c r="I1" t="s">
        <v>10</v>
      </c>
      <c r="J1" t="s">
        <v>7</v>
      </c>
      <c r="K1" t="s">
        <v>8</v>
      </c>
      <c r="L1" t="s">
        <v>11</v>
      </c>
      <c r="M1" t="s">
        <v>41</v>
      </c>
      <c r="N1" t="s">
        <v>40</v>
      </c>
      <c r="O1" t="s">
        <v>6</v>
      </c>
    </row>
    <row r="2" spans="1:15" x14ac:dyDescent="0.3">
      <c r="A2" t="s">
        <v>12</v>
      </c>
      <c r="B2" t="str">
        <f>escolas!A2</f>
        <v>EEI_PN</v>
      </c>
      <c r="C2" s="2">
        <v>19</v>
      </c>
      <c r="D2" s="2">
        <v>35</v>
      </c>
      <c r="E2" s="2">
        <v>56</v>
      </c>
      <c r="H2" t="s">
        <v>38</v>
      </c>
      <c r="I2" t="s">
        <v>27</v>
      </c>
      <c r="J2" s="1">
        <f>escolas!C2</f>
        <v>46050</v>
      </c>
      <c r="K2" s="1"/>
      <c r="L2" s="1"/>
    </row>
    <row r="3" spans="1:15" x14ac:dyDescent="0.3">
      <c r="A3" t="s">
        <v>14</v>
      </c>
      <c r="B3" t="str">
        <f t="shared" ref="B3:E6" si="0">B2</f>
        <v>EEI_PN</v>
      </c>
      <c r="C3">
        <f t="shared" si="0"/>
        <v>19</v>
      </c>
      <c r="D3">
        <f t="shared" si="0"/>
        <v>35</v>
      </c>
      <c r="E3">
        <f t="shared" si="0"/>
        <v>56</v>
      </c>
      <c r="H3" s="1" t="s">
        <v>19</v>
      </c>
      <c r="I3" s="1" t="s">
        <v>13</v>
      </c>
      <c r="J3" s="1">
        <f>J2</f>
        <v>46050</v>
      </c>
      <c r="K3" s="1">
        <f>J3</f>
        <v>46050</v>
      </c>
      <c r="L3" s="1"/>
    </row>
    <row r="4" spans="1:15" x14ac:dyDescent="0.3">
      <c r="A4" t="s">
        <v>44</v>
      </c>
      <c r="B4" t="str">
        <f t="shared" si="0"/>
        <v>EEI_PN</v>
      </c>
      <c r="C4">
        <f t="shared" si="0"/>
        <v>19</v>
      </c>
      <c r="D4">
        <f t="shared" si="0"/>
        <v>35</v>
      </c>
      <c r="E4">
        <f t="shared" si="0"/>
        <v>56</v>
      </c>
      <c r="H4" s="1" t="s">
        <v>19</v>
      </c>
      <c r="I4" s="1" t="s">
        <v>13</v>
      </c>
      <c r="J4" s="1">
        <f>J3</f>
        <v>46050</v>
      </c>
      <c r="K4" s="1">
        <v>46111</v>
      </c>
    </row>
    <row r="5" spans="1:15" x14ac:dyDescent="0.3">
      <c r="A5" t="s">
        <v>45</v>
      </c>
      <c r="B5" t="str">
        <f t="shared" si="0"/>
        <v>EEI_PN</v>
      </c>
      <c r="C5">
        <f t="shared" si="0"/>
        <v>19</v>
      </c>
      <c r="D5">
        <f t="shared" si="0"/>
        <v>35</v>
      </c>
      <c r="E5">
        <f t="shared" si="0"/>
        <v>56</v>
      </c>
      <c r="H5" s="1" t="s">
        <v>19</v>
      </c>
      <c r="I5" s="1" t="s">
        <v>13</v>
      </c>
      <c r="J5" s="1">
        <f>J4</f>
        <v>46050</v>
      </c>
      <c r="K5" s="1">
        <v>46112</v>
      </c>
    </row>
    <row r="6" spans="1:15" x14ac:dyDescent="0.3">
      <c r="A6" t="s">
        <v>46</v>
      </c>
      <c r="B6" t="str">
        <f t="shared" si="0"/>
        <v>EEI_PN</v>
      </c>
      <c r="C6">
        <f t="shared" si="0"/>
        <v>19</v>
      </c>
      <c r="D6">
        <f t="shared" si="0"/>
        <v>35</v>
      </c>
      <c r="E6">
        <f t="shared" si="0"/>
        <v>56</v>
      </c>
      <c r="H6" s="1" t="s">
        <v>19</v>
      </c>
      <c r="I6" s="1" t="s">
        <v>13</v>
      </c>
      <c r="J6" s="1">
        <f>J5</f>
        <v>46050</v>
      </c>
      <c r="K6" s="1">
        <v>46113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9E46-5574-42AB-AC5D-A1F0E0C5FE31}">
  <dimension ref="A1:D8"/>
  <sheetViews>
    <sheetView zoomScale="205" zoomScaleNormal="205" workbookViewId="0">
      <selection sqref="A1:D5"/>
    </sheetView>
  </sheetViews>
  <sheetFormatPr defaultRowHeight="14.4" x14ac:dyDescent="0.3"/>
  <cols>
    <col min="2" max="2" width="21.6640625" bestFit="1" customWidth="1"/>
    <col min="3" max="3" width="11.88671875" bestFit="1" customWidth="1"/>
  </cols>
  <sheetData>
    <row r="1" spans="1:4" x14ac:dyDescent="0.3">
      <c r="A1" t="s">
        <v>28</v>
      </c>
      <c r="B1" t="s">
        <v>29</v>
      </c>
      <c r="C1" t="s">
        <v>30</v>
      </c>
      <c r="D1" t="s">
        <v>31</v>
      </c>
    </row>
    <row r="2" spans="1:4" x14ac:dyDescent="0.3">
      <c r="A2" t="s">
        <v>42</v>
      </c>
      <c r="B2" t="s">
        <v>43</v>
      </c>
      <c r="C2" s="1">
        <v>45225</v>
      </c>
      <c r="D2" s="3">
        <v>579.88</v>
      </c>
    </row>
    <row r="3" spans="1:4" x14ac:dyDescent="0.3">
      <c r="A3" t="s">
        <v>32</v>
      </c>
      <c r="B3" t="s">
        <v>35</v>
      </c>
      <c r="C3" s="1">
        <v>46048</v>
      </c>
      <c r="D3" s="3">
        <v>157.80000000000001</v>
      </c>
    </row>
    <row r="4" spans="1:4" x14ac:dyDescent="0.3">
      <c r="A4" t="s">
        <v>33</v>
      </c>
      <c r="B4" t="s">
        <v>34</v>
      </c>
      <c r="C4" s="1">
        <f>C3+1</f>
        <v>46049</v>
      </c>
      <c r="D4" s="3">
        <v>9.98</v>
      </c>
    </row>
    <row r="5" spans="1:4" x14ac:dyDescent="0.3">
      <c r="A5" t="s">
        <v>36</v>
      </c>
      <c r="B5" t="s">
        <v>37</v>
      </c>
      <c r="C5" s="1">
        <f>C4</f>
        <v>46049</v>
      </c>
      <c r="D5" s="3">
        <v>40</v>
      </c>
    </row>
    <row r="6" spans="1:4" x14ac:dyDescent="0.3">
      <c r="D6" s="3"/>
    </row>
    <row r="7" spans="1:4" x14ac:dyDescent="0.3">
      <c r="D7" s="3"/>
    </row>
    <row r="8" spans="1:4" x14ac:dyDescent="0.3">
      <c r="D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escolas</vt:lpstr>
      <vt:lpstr>reatores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Cassio Luiz Vellani</dc:creator>
  <cp:lastModifiedBy>Cassio Luiz Vellani</cp:lastModifiedBy>
  <dcterms:created xsi:type="dcterms:W3CDTF">2025-10-30T17:57:51Z</dcterms:created>
  <dcterms:modified xsi:type="dcterms:W3CDTF">2026-04-28T19:17:09Z</dcterms:modified>
</cp:coreProperties>
</file>